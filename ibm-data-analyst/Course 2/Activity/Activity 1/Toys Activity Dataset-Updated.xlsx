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chd\Downloads\"/>
    </mc:Choice>
  </mc:AlternateContent>
  <xr:revisionPtr revIDLastSave="0" documentId="13_ncr:1_{9E80B79D-E8E6-464E-ACAC-935F43D508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oup-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jPHc//Z9C86GDDW9FD53DACs98Q=="/>
    </ext>
  </extLst>
</workbook>
</file>

<file path=xl/calcChain.xml><?xml version="1.0" encoding="utf-8"?>
<calcChain xmlns="http://schemas.openxmlformats.org/spreadsheetml/2006/main">
  <c r="F4" i="1" l="1"/>
  <c r="B22" i="1"/>
  <c r="B23" i="1"/>
  <c r="B24" i="1"/>
  <c r="B25" i="1"/>
  <c r="B26" i="1"/>
  <c r="B27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4" i="1"/>
  <c r="H17" i="1" l="1"/>
  <c r="H9" i="1"/>
  <c r="H15" i="1"/>
  <c r="H7" i="1"/>
  <c r="H14" i="1"/>
  <c r="H6" i="1"/>
  <c r="H10" i="1"/>
  <c r="C24" i="1"/>
  <c r="H5" i="1"/>
  <c r="H12" i="1"/>
  <c r="H13" i="1"/>
  <c r="C27" i="1" s="1"/>
  <c r="C26" i="1"/>
  <c r="H16" i="1"/>
  <c r="H8" i="1"/>
  <c r="C23" i="1" s="1"/>
  <c r="H4" i="1"/>
  <c r="H11" i="1"/>
  <c r="C25" i="1" s="1"/>
  <c r="C22" i="1" l="1"/>
</calcChain>
</file>

<file path=xl/sharedStrings.xml><?xml version="1.0" encoding="utf-8"?>
<sst xmlns="http://schemas.openxmlformats.org/spreadsheetml/2006/main" count="47" uniqueCount="33">
  <si>
    <t>Category</t>
  </si>
  <si>
    <t>Toys Ordered</t>
  </si>
  <si>
    <t>Price Each</t>
  </si>
  <si>
    <t>Q. Ordered</t>
  </si>
  <si>
    <t>Cost</t>
  </si>
  <si>
    <t>Discount</t>
  </si>
  <si>
    <t>Final Cost</t>
  </si>
  <si>
    <t>Dolls</t>
  </si>
  <si>
    <t>BBQ Barbie Doll</t>
  </si>
  <si>
    <t>Prince Eric Doll</t>
  </si>
  <si>
    <t>Princess Jasmine Doll</t>
  </si>
  <si>
    <t>Action figures</t>
  </si>
  <si>
    <t>BatMan</t>
  </si>
  <si>
    <t xml:space="preserve">Spiderman </t>
  </si>
  <si>
    <t>Educational Toys</t>
  </si>
  <si>
    <t>Robot Kit</t>
  </si>
  <si>
    <t>Creative toys</t>
  </si>
  <si>
    <t>Spirograph</t>
  </si>
  <si>
    <t>Lego</t>
  </si>
  <si>
    <t>Speak and Spell</t>
  </si>
  <si>
    <t>Electronic Toys</t>
  </si>
  <si>
    <t>Digital Pet</t>
  </si>
  <si>
    <t>Robot</t>
  </si>
  <si>
    <t>Games</t>
  </si>
  <si>
    <t>PS5</t>
  </si>
  <si>
    <t>Xbox</t>
  </si>
  <si>
    <t>Stickers</t>
  </si>
  <si>
    <t>Toys Activity Group-8</t>
  </si>
  <si>
    <t>category</t>
  </si>
  <si>
    <t>Total Quantity</t>
  </si>
  <si>
    <t>Total Sales</t>
  </si>
  <si>
    <t>Offer( Disc: 50%)</t>
  </si>
  <si>
    <t>Offer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</si>
</sst>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[$£-809]#,##0.00"/>
    <numFmt numFmtId="174" formatCode="[$£-809]#,##0"/>
  </numFmts>
  <fonts count="6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27">
    <xf numFmtId="0" fontId="0" fillId="0" borderId="0" xfId="0"/>
    <xf numFmtId="0" fontId="5" fillId="0" borderId="1" xfId="0" applyFont="1" applyBorder="1" applyAlignment="1">
      <alignment horizontal="center" vertical="center"/>
    </xf>
    <xf numFmtId="170" fontId="5" fillId="0" borderId="1" xfId="0" applyNumberFormat="1" applyFont="1" applyBorder="1" applyAlignment="1">
      <alignment horizontal="center"/>
    </xf>
    <xf numFmtId="170" fontId="5" fillId="0" borderId="1" xfId="0" applyNumberFormat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170" fontId="0" fillId="0" borderId="0" xfId="0" applyNumberFormat="1"/>
    <xf numFmtId="0" fontId="5" fillId="0" borderId="2" xfId="0" applyFont="1" applyBorder="1" applyAlignment="1">
      <alignment horizontal="center" vertical="center"/>
    </xf>
    <xf numFmtId="170" fontId="5" fillId="0" borderId="3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70" fontId="5" fillId="0" borderId="8" xfId="0" applyNumberFormat="1" applyFont="1" applyBorder="1" applyAlignment="1">
      <alignment horizontal="center"/>
    </xf>
    <xf numFmtId="170" fontId="5" fillId="0" borderId="8" xfId="0" applyNumberFormat="1" applyFont="1" applyBorder="1" applyAlignment="1">
      <alignment horizontal="center" vertical="center"/>
    </xf>
    <xf numFmtId="9" fontId="5" fillId="0" borderId="8" xfId="1" applyFont="1" applyBorder="1" applyAlignment="1">
      <alignment horizontal="center" vertical="center"/>
    </xf>
    <xf numFmtId="170" fontId="5" fillId="0" borderId="9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74" fontId="0" fillId="0" borderId="0" xfId="0" applyNumberFormat="1"/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3" borderId="3" xfId="2" applyFont="1" applyFill="1" applyBorder="1" applyAlignment="1">
      <alignment horizontal="center"/>
    </xf>
    <xf numFmtId="0" fontId="3" fillId="3" borderId="10" xfId="2" applyFont="1" applyFill="1" applyBorder="1" applyAlignment="1">
      <alignment horizontal="center"/>
    </xf>
    <xf numFmtId="0" fontId="3" fillId="3" borderId="2" xfId="2" applyFont="1" applyFill="1" applyBorder="1" applyAlignment="1">
      <alignment horizontal="center"/>
    </xf>
  </cellXfs>
  <cellStyles count="3">
    <cellStyle name="40% - Accent1" xfId="2" builtinId="31"/>
    <cellStyle name="Normal" xfId="0" builtinId="0"/>
    <cellStyle name="Percent" xfId="1" builtinId="5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70" formatCode="[$£-809]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70" formatCode="[$£-809]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70" formatCode="[$£-809]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9C61CE-317E-4B19-8FE7-85FC60C36F07}" name="Table3" displayName="Table3" ref="A21:C27" totalsRowShown="0">
  <autoFilter ref="A21:C27" xr:uid="{639C61CE-317E-4B19-8FE7-85FC60C36F07}"/>
  <tableColumns count="3">
    <tableColumn id="1" xr3:uid="{208D1155-40AB-44C3-B99A-60D9A7A153A4}" name="category"/>
    <tableColumn id="2" xr3:uid="{97623293-BAB8-42DF-929C-3CD71C5B7D38}" name="Total Quantity" dataDxfId="28">
      <calculatedColumnFormula>SUMIF(A2:A17, Table3[[#This Row],[category]], D2:D17)</calculatedColumnFormula>
    </tableColumn>
    <tableColumn id="3" xr3:uid="{E8F3AFAB-4B51-4995-82C5-15E89C30FFD1}" name="Total Sales" dataDxfId="27">
      <calculatedColumnFormula>SUMIF(A2:A17, Table3[[#This Row],[category]], H2:H17)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690565-75DF-45F9-A396-D2C58F477EF3}" name="Table4" displayName="Table4" ref="A3:H17" totalsRowShown="0" headerRowDxfId="1" headerRowBorderDxfId="10" tableBorderDxfId="11" totalsRowBorderDxfId="9">
  <autoFilter ref="A3:H17" xr:uid="{01690565-75DF-45F9-A396-D2C58F477EF3}"/>
  <tableColumns count="8">
    <tableColumn id="1" xr3:uid="{FF7FA798-20D6-4E71-AA22-6EBAD6E63BD4}" name="Category" dataDxfId="8"/>
    <tableColumn id="2" xr3:uid="{A5F903E3-6E72-4069-8FB1-2EF0CC7B10DA}" name="Toys Ordered" dataDxfId="7"/>
    <tableColumn id="3" xr3:uid="{F45650D1-699D-4D23-A224-E8DA0F40B00B}" name="Price Each" dataDxfId="6"/>
    <tableColumn id="4" xr3:uid="{5C49E010-DC5E-4619-B71F-411FB9154C29}" name="Q. Ordered" dataDxfId="5"/>
    <tableColumn id="5" xr3:uid="{C7D57BAE-DE2B-457B-AA2F-A75F21DF0EDF}" name="Cost" dataDxfId="4">
      <calculatedColumnFormula>C4*D4</calculatedColumnFormula>
    </tableColumn>
    <tableColumn id="6" xr3:uid="{2131CE79-530E-41C8-9357-9261E336F960}" name="Discount" dataDxfId="3" dataCellStyle="Percent">
      <calculatedColumnFormula>IF(D4&gt;7, 10%, IF(D4&gt;4, 5%, 0))</calculatedColumnFormula>
    </tableColumn>
    <tableColumn id="7" xr3:uid="{FB9C74BD-1F74-4754-ABD9-346C679363F1}" name="Offer" dataDxfId="0" dataCellStyle="Percent"/>
    <tableColumn id="8" xr3:uid="{28EC03BB-AAD8-416C-B015-78308962FE1E}" name="Final Cost" dataDxfId="2">
      <calculatedColumnFormula>E4- (E4*F4)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3"/>
  <sheetViews>
    <sheetView tabSelected="1" workbookViewId="0">
      <selection activeCell="F4" sqref="F4"/>
    </sheetView>
  </sheetViews>
  <sheetFormatPr defaultColWidth="14.42578125" defaultRowHeight="15" customHeight="1" x14ac:dyDescent="0.25"/>
  <cols>
    <col min="1" max="1" width="21.42578125" customWidth="1"/>
    <col min="2" max="2" width="25.140625" customWidth="1"/>
    <col min="3" max="3" width="16.7109375" customWidth="1"/>
    <col min="4" max="4" width="16.42578125" bestFit="1" customWidth="1"/>
    <col min="5" max="5" width="10.140625" bestFit="1" customWidth="1"/>
    <col min="6" max="6" width="14.140625" bestFit="1" customWidth="1"/>
    <col min="7" max="7" width="10.5703125" bestFit="1" customWidth="1"/>
    <col min="8" max="8" width="14.85546875" bestFit="1" customWidth="1"/>
    <col min="9" max="27" width="8.7109375" customWidth="1"/>
  </cols>
  <sheetData>
    <row r="1" spans="1:8" ht="20.100000000000001" customHeight="1" x14ac:dyDescent="0.25">
      <c r="A1" s="24" t="s">
        <v>27</v>
      </c>
      <c r="B1" s="25"/>
      <c r="C1" s="25"/>
      <c r="D1" s="25"/>
      <c r="E1" s="25"/>
      <c r="F1" s="25"/>
      <c r="G1" s="25"/>
      <c r="H1" s="26"/>
    </row>
    <row r="2" spans="1:8" ht="18" customHeight="1" x14ac:dyDescent="0.25">
      <c r="A2" s="18" t="s">
        <v>31</v>
      </c>
      <c r="B2" s="19"/>
      <c r="C2" s="19"/>
      <c r="D2" s="19"/>
      <c r="E2" s="19"/>
      <c r="F2" s="19"/>
      <c r="G2" s="19"/>
      <c r="H2" s="20"/>
    </row>
    <row r="3" spans="1:8" ht="18" customHeight="1" x14ac:dyDescent="0.25">
      <c r="A3" s="21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32</v>
      </c>
      <c r="H3" s="23" t="s">
        <v>6</v>
      </c>
    </row>
    <row r="4" spans="1:8" ht="18" customHeight="1" x14ac:dyDescent="0.25">
      <c r="A4" s="6" t="s">
        <v>7</v>
      </c>
      <c r="B4" s="1" t="s">
        <v>8</v>
      </c>
      <c r="C4" s="2">
        <v>12.99</v>
      </c>
      <c r="D4" s="1">
        <v>2</v>
      </c>
      <c r="E4" s="3">
        <f>C4*D4</f>
        <v>25.98</v>
      </c>
      <c r="F4" s="4">
        <f>IF(D4&gt;7, 10%, IF(D4&gt;4, 5%, 0))</f>
        <v>0</v>
      </c>
      <c r="G4" s="4"/>
      <c r="H4" s="7">
        <f>E4- (E4*F4)</f>
        <v>25.98</v>
      </c>
    </row>
    <row r="5" spans="1:8" ht="18" customHeight="1" x14ac:dyDescent="0.25">
      <c r="A5" s="6" t="s">
        <v>7</v>
      </c>
      <c r="B5" s="1" t="s">
        <v>9</v>
      </c>
      <c r="C5" s="2">
        <v>8.99</v>
      </c>
      <c r="D5" s="1">
        <v>3</v>
      </c>
      <c r="E5" s="3">
        <f t="shared" ref="E5:E17" si="0">C5*D5</f>
        <v>26.97</v>
      </c>
      <c r="F5" s="4">
        <f t="shared" ref="F5:F17" si="1">IF(D5&gt;7, 10%, IF(D5&gt;4, 5%, 0))</f>
        <v>0</v>
      </c>
      <c r="G5" s="4"/>
      <c r="H5" s="7">
        <f t="shared" ref="H5:H17" si="2">E5- (E5*F5)</f>
        <v>26.97</v>
      </c>
    </row>
    <row r="6" spans="1:8" ht="18" customHeight="1" x14ac:dyDescent="0.25">
      <c r="A6" s="6" t="s">
        <v>7</v>
      </c>
      <c r="B6" s="1" t="s">
        <v>10</v>
      </c>
      <c r="C6" s="2">
        <v>9.99</v>
      </c>
      <c r="D6" s="1">
        <v>10</v>
      </c>
      <c r="E6" s="3">
        <f t="shared" si="0"/>
        <v>99.9</v>
      </c>
      <c r="F6" s="4">
        <f t="shared" si="1"/>
        <v>0.1</v>
      </c>
      <c r="G6" s="4"/>
      <c r="H6" s="7">
        <f t="shared" si="2"/>
        <v>89.91</v>
      </c>
    </row>
    <row r="7" spans="1:8" ht="18" customHeight="1" x14ac:dyDescent="0.25">
      <c r="A7" s="6" t="s">
        <v>11</v>
      </c>
      <c r="B7" s="1" t="s">
        <v>12</v>
      </c>
      <c r="C7" s="2">
        <v>19.989999999999998</v>
      </c>
      <c r="D7" s="1">
        <v>5</v>
      </c>
      <c r="E7" s="3">
        <f t="shared" si="0"/>
        <v>99.949999999999989</v>
      </c>
      <c r="F7" s="4">
        <f t="shared" si="1"/>
        <v>0.05</v>
      </c>
      <c r="G7" s="4"/>
      <c r="H7" s="7">
        <f t="shared" si="2"/>
        <v>94.952499999999986</v>
      </c>
    </row>
    <row r="8" spans="1:8" ht="18" customHeight="1" x14ac:dyDescent="0.25">
      <c r="A8" s="6" t="s">
        <v>11</v>
      </c>
      <c r="B8" s="1" t="s">
        <v>13</v>
      </c>
      <c r="C8" s="2">
        <v>14.99</v>
      </c>
      <c r="D8" s="1">
        <v>8</v>
      </c>
      <c r="E8" s="3">
        <f t="shared" si="0"/>
        <v>119.92</v>
      </c>
      <c r="F8" s="4">
        <f t="shared" si="1"/>
        <v>0.1</v>
      </c>
      <c r="G8" s="4"/>
      <c r="H8" s="7">
        <f t="shared" si="2"/>
        <v>107.928</v>
      </c>
    </row>
    <row r="9" spans="1:8" ht="18" customHeight="1" x14ac:dyDescent="0.25">
      <c r="A9" s="6" t="s">
        <v>14</v>
      </c>
      <c r="B9" s="1" t="s">
        <v>15</v>
      </c>
      <c r="C9" s="2">
        <v>12.5</v>
      </c>
      <c r="D9" s="1">
        <v>2</v>
      </c>
      <c r="E9" s="3">
        <f t="shared" si="0"/>
        <v>25</v>
      </c>
      <c r="F9" s="4">
        <f t="shared" si="1"/>
        <v>0</v>
      </c>
      <c r="G9" s="4"/>
      <c r="H9" s="7">
        <f t="shared" si="2"/>
        <v>25</v>
      </c>
    </row>
    <row r="10" spans="1:8" ht="18" customHeight="1" x14ac:dyDescent="0.25">
      <c r="A10" s="6" t="s">
        <v>16</v>
      </c>
      <c r="B10" s="1" t="s">
        <v>17</v>
      </c>
      <c r="C10" s="2">
        <v>60.5</v>
      </c>
      <c r="D10" s="1">
        <v>5</v>
      </c>
      <c r="E10" s="3">
        <f t="shared" si="0"/>
        <v>302.5</v>
      </c>
      <c r="F10" s="4">
        <f t="shared" si="1"/>
        <v>0.05</v>
      </c>
      <c r="G10" s="4"/>
      <c r="H10" s="7">
        <f t="shared" si="2"/>
        <v>287.375</v>
      </c>
    </row>
    <row r="11" spans="1:8" ht="18" customHeight="1" x14ac:dyDescent="0.25">
      <c r="A11" s="6" t="s">
        <v>16</v>
      </c>
      <c r="B11" s="1" t="s">
        <v>18</v>
      </c>
      <c r="C11" s="2">
        <v>30.5</v>
      </c>
      <c r="D11" s="1">
        <v>1</v>
      </c>
      <c r="E11" s="3">
        <f t="shared" si="0"/>
        <v>30.5</v>
      </c>
      <c r="F11" s="4">
        <f t="shared" si="1"/>
        <v>0</v>
      </c>
      <c r="G11" s="4"/>
      <c r="H11" s="7">
        <f t="shared" si="2"/>
        <v>30.5</v>
      </c>
    </row>
    <row r="12" spans="1:8" ht="18" customHeight="1" x14ac:dyDescent="0.25">
      <c r="A12" s="6" t="s">
        <v>14</v>
      </c>
      <c r="B12" s="1" t="s">
        <v>19</v>
      </c>
      <c r="C12" s="2">
        <v>10.5</v>
      </c>
      <c r="D12" s="1">
        <v>6</v>
      </c>
      <c r="E12" s="3">
        <f t="shared" si="0"/>
        <v>63</v>
      </c>
      <c r="F12" s="4">
        <f t="shared" si="1"/>
        <v>0.05</v>
      </c>
      <c r="G12" s="4"/>
      <c r="H12" s="7">
        <f t="shared" si="2"/>
        <v>59.85</v>
      </c>
    </row>
    <row r="13" spans="1:8" ht="18" customHeight="1" x14ac:dyDescent="0.25">
      <c r="A13" s="6" t="s">
        <v>20</v>
      </c>
      <c r="B13" s="1" t="s">
        <v>21</v>
      </c>
      <c r="C13" s="2">
        <v>34.5</v>
      </c>
      <c r="D13" s="1">
        <v>8</v>
      </c>
      <c r="E13" s="3">
        <f t="shared" si="0"/>
        <v>276</v>
      </c>
      <c r="F13" s="4">
        <f t="shared" si="1"/>
        <v>0.1</v>
      </c>
      <c r="G13" s="4"/>
      <c r="H13" s="7">
        <f t="shared" si="2"/>
        <v>248.4</v>
      </c>
    </row>
    <row r="14" spans="1:8" ht="18" customHeight="1" x14ac:dyDescent="0.25">
      <c r="A14" s="6" t="s">
        <v>14</v>
      </c>
      <c r="B14" s="1" t="s">
        <v>22</v>
      </c>
      <c r="C14" s="2">
        <v>50</v>
      </c>
      <c r="D14" s="1">
        <v>19</v>
      </c>
      <c r="E14" s="3">
        <f t="shared" si="0"/>
        <v>950</v>
      </c>
      <c r="F14" s="4">
        <f t="shared" si="1"/>
        <v>0.1</v>
      </c>
      <c r="G14" s="4"/>
      <c r="H14" s="7">
        <f t="shared" si="2"/>
        <v>855</v>
      </c>
    </row>
    <row r="15" spans="1:8" ht="18" customHeight="1" x14ac:dyDescent="0.25">
      <c r="A15" s="6" t="s">
        <v>23</v>
      </c>
      <c r="B15" s="1" t="s">
        <v>24</v>
      </c>
      <c r="C15" s="2">
        <v>350</v>
      </c>
      <c r="D15" s="1">
        <v>5</v>
      </c>
      <c r="E15" s="3">
        <f t="shared" si="0"/>
        <v>1750</v>
      </c>
      <c r="F15" s="4">
        <f t="shared" si="1"/>
        <v>0.05</v>
      </c>
      <c r="G15" s="4"/>
      <c r="H15" s="7">
        <f t="shared" si="2"/>
        <v>1662.5</v>
      </c>
    </row>
    <row r="16" spans="1:8" ht="18" customHeight="1" x14ac:dyDescent="0.25">
      <c r="A16" s="6" t="s">
        <v>23</v>
      </c>
      <c r="B16" s="1" t="s">
        <v>25</v>
      </c>
      <c r="C16" s="2">
        <v>400</v>
      </c>
      <c r="D16" s="1">
        <v>6</v>
      </c>
      <c r="E16" s="3">
        <f t="shared" si="0"/>
        <v>2400</v>
      </c>
      <c r="F16" s="4">
        <f t="shared" si="1"/>
        <v>0.05</v>
      </c>
      <c r="G16" s="4"/>
      <c r="H16" s="7">
        <f t="shared" si="2"/>
        <v>2280</v>
      </c>
    </row>
    <row r="17" spans="1:8" ht="18" customHeight="1" x14ac:dyDescent="0.25">
      <c r="A17" s="8" t="s">
        <v>16</v>
      </c>
      <c r="B17" s="9" t="s">
        <v>26</v>
      </c>
      <c r="C17" s="10">
        <v>19.989999999999998</v>
      </c>
      <c r="D17" s="9">
        <v>11</v>
      </c>
      <c r="E17" s="11">
        <f t="shared" si="0"/>
        <v>219.89</v>
      </c>
      <c r="F17" s="12">
        <f t="shared" si="1"/>
        <v>0.1</v>
      </c>
      <c r="G17" s="12"/>
      <c r="H17" s="13">
        <f t="shared" si="2"/>
        <v>197.90099999999998</v>
      </c>
    </row>
    <row r="18" spans="1:8" ht="14.25" customHeight="1" x14ac:dyDescent="0.25"/>
    <row r="19" spans="1:8" ht="14.25" customHeight="1" x14ac:dyDescent="0.25"/>
    <row r="20" spans="1:8" ht="14.25" customHeight="1" x14ac:dyDescent="0.25">
      <c r="E20" s="5"/>
    </row>
    <row r="21" spans="1:8" ht="14.25" customHeight="1" x14ac:dyDescent="0.25">
      <c r="A21" s="14" t="s">
        <v>28</v>
      </c>
      <c r="B21" s="14" t="s">
        <v>29</v>
      </c>
      <c r="C21" s="14" t="s">
        <v>30</v>
      </c>
      <c r="E21" s="5"/>
    </row>
    <row r="22" spans="1:8" ht="14.25" customHeight="1" x14ac:dyDescent="0.25">
      <c r="A22" s="15" t="s">
        <v>7</v>
      </c>
      <c r="B22">
        <f>SUMIF(A2:A17, Table3[[#This Row],[category]], D2:D17)</f>
        <v>15</v>
      </c>
      <c r="C22" s="17">
        <f>SUMIF(A2:A17, Table3[[#This Row],[category]], H2:H17)</f>
        <v>142.86000000000001</v>
      </c>
    </row>
    <row r="23" spans="1:8" ht="14.25" customHeight="1" x14ac:dyDescent="0.25">
      <c r="A23" s="15" t="s">
        <v>11</v>
      </c>
      <c r="B23">
        <f>SUMIF(A4:A18, Table3[[#This Row],[category]], D4:D18)</f>
        <v>13</v>
      </c>
      <c r="C23" s="17">
        <f>SUMIF(A4:A18, Table3[[#This Row],[category]], H4:H18)</f>
        <v>202.88049999999998</v>
      </c>
    </row>
    <row r="24" spans="1:8" ht="14.25" customHeight="1" x14ac:dyDescent="0.25">
      <c r="A24" s="15" t="s">
        <v>14</v>
      </c>
      <c r="B24">
        <f>SUMIF(A5:A19, Table3[[#This Row],[category]], D5:D19)</f>
        <v>27</v>
      </c>
      <c r="C24" s="17">
        <f>SUMIF(A5:A19, Table3[[#This Row],[category]], H5:H19)</f>
        <v>939.85</v>
      </c>
    </row>
    <row r="25" spans="1:8" ht="14.25" customHeight="1" x14ac:dyDescent="0.25">
      <c r="A25" s="16" t="s">
        <v>16</v>
      </c>
      <c r="B25">
        <f>SUMIF(A6:A20, Table3[[#This Row],[category]], D6:D20)</f>
        <v>17</v>
      </c>
      <c r="C25" s="17">
        <f>SUMIF(A6:A20, Table3[[#This Row],[category]], H6:H20)</f>
        <v>515.77599999999995</v>
      </c>
    </row>
    <row r="26" spans="1:8" ht="14.25" customHeight="1" x14ac:dyDescent="0.25">
      <c r="A26" s="1" t="s">
        <v>23</v>
      </c>
      <c r="B26">
        <f>SUMIF(A7:A21, Table3[[#This Row],[category]], D7:D21)</f>
        <v>11</v>
      </c>
      <c r="C26" s="17">
        <f>SUMIF(A7:A21, Table3[[#This Row],[category]], H7:H21)</f>
        <v>3942.5</v>
      </c>
    </row>
    <row r="27" spans="1:8" ht="14.25" customHeight="1" x14ac:dyDescent="0.25">
      <c r="A27" s="1" t="s">
        <v>20</v>
      </c>
      <c r="B27">
        <f>SUMIF(A8:A22, Table3[[#This Row],[category]], D8:D22)</f>
        <v>8</v>
      </c>
      <c r="C27" s="17">
        <f>SUMIF(A8:A22, Table3[[#This Row],[category]], H8:H22)</f>
        <v>248.4</v>
      </c>
    </row>
    <row r="28" spans="1:8" ht="14.25" customHeight="1" x14ac:dyDescent="0.25"/>
    <row r="29" spans="1:8" ht="14.25" customHeight="1" x14ac:dyDescent="0.25"/>
    <row r="30" spans="1:8" ht="14.25" customHeight="1" x14ac:dyDescent="0.25"/>
    <row r="31" spans="1:8" ht="14.25" customHeight="1" x14ac:dyDescent="0.25"/>
    <row r="32" spans="1:8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</sheetData>
  <mergeCells count="2">
    <mergeCell ref="A1:H1"/>
    <mergeCell ref="A2:H2"/>
  </mergeCells>
  <conditionalFormatting sqref="C22:C27">
    <cfRule type="cellIs" dxfId="20" priority="3" operator="greaterThan">
      <formula>80</formula>
    </cfRule>
    <cfRule type="cellIs" dxfId="19" priority="4" operator="greaterThan">
      <formula>"£80"</formula>
    </cfRule>
    <cfRule type="cellIs" dxfId="18" priority="5" operator="greaterThan">
      <formula>"£80"</formula>
    </cfRule>
  </conditionalFormatting>
  <conditionalFormatting sqref="B22:B27">
    <cfRule type="cellIs" dxfId="12" priority="2" operator="greaterThan">
      <formula>10</formula>
    </cfRule>
    <cfRule type="cellIs" dxfId="13" priority="1" operator="greaterThan">
      <formula>10</formula>
    </cfRule>
  </conditionalFormatting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Group-8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Geetu</dc:creator>
  <cp:lastModifiedBy>Maharshi Pandya</cp:lastModifiedBy>
  <dcterms:created xsi:type="dcterms:W3CDTF">2021-06-08T14:42:39Z</dcterms:created>
  <dcterms:modified xsi:type="dcterms:W3CDTF">2026-07-07T15:42:44Z</dcterms:modified>
</cp:coreProperties>
</file>